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willow_stewart_sydney_edu_au/Documents/Documents/Code/Factorisation/"/>
    </mc:Choice>
  </mc:AlternateContent>
  <xr:revisionPtr revIDLastSave="4" documentId="8_{26CB4FAA-07CD-40F1-85AD-C845B052B203}" xr6:coauthVersionLast="47" xr6:coauthVersionMax="47" xr10:uidLastSave="{505DD4A7-385D-4014-B1FC-FC0526FFF781}"/>
  <bookViews>
    <workbookView xWindow="-110" yWindow="-110" windowWidth="19420" windowHeight="10300" xr2:uid="{83C5DB67-5C60-413B-8CF8-786CDCEC920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" i="3" l="1"/>
  <c r="M13" i="3"/>
  <c r="M14" i="3"/>
  <c r="M15" i="3"/>
  <c r="K12" i="3"/>
  <c r="K13" i="3"/>
  <c r="K14" i="3"/>
  <c r="K15" i="3"/>
  <c r="G14" i="3"/>
  <c r="G15" i="3"/>
  <c r="I12" i="3"/>
  <c r="I13" i="3"/>
  <c r="I14" i="3"/>
  <c r="I15" i="3"/>
  <c r="G12" i="3"/>
  <c r="G13" i="3"/>
  <c r="E12" i="3"/>
  <c r="E13" i="3"/>
  <c r="E14" i="3"/>
  <c r="E15" i="3"/>
  <c r="C12" i="3"/>
  <c r="C13" i="3"/>
  <c r="C14" i="3"/>
  <c r="C15" i="3"/>
  <c r="O15" i="3"/>
  <c r="Q15" i="3"/>
  <c r="O14" i="3"/>
  <c r="Q14" i="3"/>
  <c r="O13" i="3"/>
  <c r="Q13" i="3"/>
  <c r="O12" i="3"/>
  <c r="Q12" i="3"/>
  <c r="S3" i="3"/>
  <c r="S4" i="3"/>
  <c r="S5" i="3"/>
  <c r="S6" i="3"/>
  <c r="S7" i="3"/>
  <c r="S8" i="3"/>
  <c r="S9" i="3"/>
  <c r="S10" i="3"/>
  <c r="S11" i="3"/>
  <c r="S2" i="3"/>
  <c r="Q3" i="3"/>
  <c r="Q4" i="3"/>
  <c r="Q5" i="3"/>
  <c r="Q6" i="3"/>
  <c r="Q7" i="3"/>
  <c r="Q8" i="3"/>
  <c r="Q9" i="3"/>
  <c r="Q10" i="3"/>
  <c r="Q11" i="3"/>
  <c r="Q2" i="3"/>
  <c r="O3" i="3"/>
  <c r="O4" i="3"/>
  <c r="O5" i="3"/>
  <c r="O6" i="3"/>
  <c r="O7" i="3"/>
  <c r="O8" i="3"/>
  <c r="O9" i="3"/>
  <c r="O10" i="3"/>
  <c r="O11" i="3"/>
  <c r="O2" i="3"/>
  <c r="M3" i="3"/>
  <c r="M4" i="3"/>
  <c r="M5" i="3"/>
  <c r="M6" i="3"/>
  <c r="M7" i="3"/>
  <c r="M8" i="3"/>
  <c r="M9" i="3"/>
  <c r="M10" i="3"/>
  <c r="M11" i="3"/>
  <c r="M2" i="3"/>
  <c r="K3" i="3"/>
  <c r="K4" i="3"/>
  <c r="K5" i="3"/>
  <c r="K6" i="3"/>
  <c r="K7" i="3"/>
  <c r="K8" i="3"/>
  <c r="K9" i="3"/>
  <c r="K10" i="3"/>
  <c r="K11" i="3"/>
  <c r="K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2" i="3"/>
  <c r="E3" i="3"/>
  <c r="E4" i="3"/>
  <c r="E5" i="3"/>
  <c r="E6" i="3"/>
  <c r="E7" i="3"/>
  <c r="E8" i="3"/>
  <c r="E9" i="3"/>
  <c r="E10" i="3"/>
  <c r="E11" i="3"/>
  <c r="E2" i="3"/>
  <c r="C3" i="3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<sst xmlns="http://schemas.openxmlformats.org/spreadsheetml/2006/main" count="19" uniqueCount="19">
  <si>
    <t>n</t>
  </si>
  <si>
    <t>pPa</t>
  </si>
  <si>
    <t>S</t>
  </si>
  <si>
    <t>Br</t>
  </si>
  <si>
    <t>Ro</t>
  </si>
  <si>
    <t>RoBr</t>
  </si>
  <si>
    <t>TL/n^(3/2)</t>
  </si>
  <si>
    <t>pRo/n^(3/2)</t>
  </si>
  <si>
    <t>Mo/n^(3/2)</t>
  </si>
  <si>
    <t>pPa/n^(3/2)</t>
  </si>
  <si>
    <t>TL</t>
  </si>
  <si>
    <t>pRo</t>
  </si>
  <si>
    <t>Mo</t>
  </si>
  <si>
    <t>S/n^2</t>
  </si>
  <si>
    <t>Br/n^2</t>
  </si>
  <si>
    <t>Ro/n^2</t>
  </si>
  <si>
    <t>RoBr/n^2</t>
  </si>
  <si>
    <t>Pa/n^2</t>
  </si>
  <si>
    <t xml:space="preserve">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</si>
</sst>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TL/n^(3/2)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0.79292999999999847</c:v>
                </c:pt>
                <c:pt idx="1">
                  <c:v>0.81193324017711044</c:v>
                </c:pt>
                <c:pt idx="2">
                  <c:v>0.83168961347537285</c:v>
                </c:pt>
                <c:pt idx="3">
                  <c:v>0.83679124999999999</c:v>
                </c:pt>
                <c:pt idx="4">
                  <c:v>0.8537574077397112</c:v>
                </c:pt>
                <c:pt idx="5">
                  <c:v>0.84248008770535343</c:v>
                </c:pt>
                <c:pt idx="6">
                  <c:v>0.85450046073152019</c:v>
                </c:pt>
                <c:pt idx="7">
                  <c:v>0.84294641326986641</c:v>
                </c:pt>
                <c:pt idx="8">
                  <c:v>0.85986688888888896</c:v>
                </c:pt>
                <c:pt idx="9">
                  <c:v>0.86798696856172008</c:v>
                </c:pt>
                <c:pt idx="10">
                  <c:v>0.86751309419893718</c:v>
                </c:pt>
                <c:pt idx="11">
                  <c:v>0.87096142648004893</c:v>
                </c:pt>
                <c:pt idx="12">
                  <c:v>0.86606553703262512</c:v>
                </c:pt>
                <c:pt idx="13">
                  <c:v>0.86898212313692036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1-4E30-893A-FB0C10378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590208"/>
        <c:axId val="1056465552"/>
      </c:scatterChart>
      <c:valAx>
        <c:axId val="137359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65552"/>
        <c:crosses val="autoZero"/>
        <c:crossBetween val="midCat"/>
      </c:valAx>
      <c:valAx>
        <c:axId val="10564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59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pRo/n^(3/2)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Sheet1!$E$2:$E$15</c:f>
              <c:numCache>
                <c:formatCode>General</c:formatCode>
                <c:ptCount val="14"/>
                <c:pt idx="0">
                  <c:v>0.42489499999999969</c:v>
                </c:pt>
                <c:pt idx="1">
                  <c:v>0.36152036269690291</c:v>
                </c:pt>
                <c:pt idx="2">
                  <c:v>0.33575246799462477</c:v>
                </c:pt>
                <c:pt idx="3">
                  <c:v>0.319243</c:v>
                </c:pt>
                <c:pt idx="4">
                  <c:v>0.31344386979848232</c:v>
                </c:pt>
                <c:pt idx="5">
                  <c:v>0.30219654338795771</c:v>
                </c:pt>
                <c:pt idx="6">
                  <c:v>0.29931109207957696</c:v>
                </c:pt>
                <c:pt idx="7">
                  <c:v>0.29701070169003735</c:v>
                </c:pt>
                <c:pt idx="8">
                  <c:v>0.29365081481481486</c:v>
                </c:pt>
                <c:pt idx="9">
                  <c:v>0.29066283823763245</c:v>
                </c:pt>
                <c:pt idx="10">
                  <c:v>0.26331340590921548</c:v>
                </c:pt>
                <c:pt idx="11">
                  <c:v>0.25677344257514934</c:v>
                </c:pt>
                <c:pt idx="12">
                  <c:v>0.25656653200301194</c:v>
                </c:pt>
                <c:pt idx="13">
                  <c:v>0.24801794108905997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96-4A17-99CC-E4B3A295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14544"/>
        <c:axId val="1338199344"/>
      </c:scatterChart>
      <c:valAx>
        <c:axId val="66401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99344"/>
        <c:crosses val="autoZero"/>
        <c:crossBetween val="midCat"/>
      </c:valAx>
      <c:valAx>
        <c:axId val="133819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1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Mo/n^(3/2)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Sheet1!$G$2:$G$15</c:f>
              <c:numCache>
                <c:formatCode>General</c:formatCode>
                <c:ptCount val="14"/>
                <c:pt idx="0">
                  <c:v>0.76695999999999953</c:v>
                </c:pt>
                <c:pt idx="1">
                  <c:v>0.7527989607266512</c:v>
                </c:pt>
                <c:pt idx="2">
                  <c:v>0.74873746639892524</c:v>
                </c:pt>
                <c:pt idx="3">
                  <c:v>0.74533000000000005</c:v>
                </c:pt>
                <c:pt idx="4">
                  <c:v>0.73943950570266281</c:v>
                </c:pt>
                <c:pt idx="5">
                  <c:v>0.73614426786066656</c:v>
                </c:pt>
                <c:pt idx="6">
                  <c:v>0.73848491368043445</c:v>
                </c:pt>
                <c:pt idx="7">
                  <c:v>0.73361740765592498</c:v>
                </c:pt>
                <c:pt idx="8">
                  <c:v>0.73020825925925936</c:v>
                </c:pt>
                <c:pt idx="9">
                  <c:v>0.73813881981372675</c:v>
                </c:pt>
                <c:pt idx="10">
                  <c:v>0.73158388584819112</c:v>
                </c:pt>
                <c:pt idx="11">
                  <c:v>0.73440956159549697</c:v>
                </c:pt>
                <c:pt idx="12">
                  <c:v>0.72785354334680552</c:v>
                </c:pt>
                <c:pt idx="13">
                  <c:v>0.72672475172378692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76-4321-B1A1-B96325EC0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030736"/>
        <c:axId val="1338077424"/>
      </c:scatterChart>
      <c:valAx>
        <c:axId val="144903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77424"/>
        <c:crosses val="autoZero"/>
        <c:crossBetween val="midCat"/>
      </c:valAx>
      <c:valAx>
        <c:axId val="1338077424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3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pPa/n^(3/2)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Sheet1!$I$2:$I$15</c:f>
              <c:numCache>
                <c:formatCode>General</c:formatCode>
                <c:ptCount val="14"/>
                <c:pt idx="0">
                  <c:v>2.3508099999999983</c:v>
                </c:pt>
                <c:pt idx="1">
                  <c:v>2.3811156176082693</c:v>
                </c:pt>
                <c:pt idx="2">
                  <c:v>2.4098069073727331</c:v>
                </c:pt>
                <c:pt idx="3">
                  <c:v>2.4289785000000004</c:v>
                </c:pt>
                <c:pt idx="4">
                  <c:v>2.432845179457658</c:v>
                </c:pt>
                <c:pt idx="5">
                  <c:v>2.4287133068676572</c:v>
                </c:pt>
                <c:pt idx="6">
                  <c:v>2.3944696224332658</c:v>
                </c:pt>
                <c:pt idx="7">
                  <c:v>2.3961438464171745</c:v>
                </c:pt>
                <c:pt idx="8">
                  <c:v>2.4596665925925931</c:v>
                </c:pt>
                <c:pt idx="9">
                  <c:v>2.4446643308318357</c:v>
                </c:pt>
                <c:pt idx="10">
                  <c:v>2.4615866133705335</c:v>
                </c:pt>
                <c:pt idx="11">
                  <c:v>2.4651957726254468</c:v>
                </c:pt>
                <c:pt idx="12">
                  <c:v>2.4776367438217988</c:v>
                </c:pt>
                <c:pt idx="13">
                  <c:v>2.4821173360193907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8-4CF1-AC09-A371CFB7B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9001040"/>
        <c:axId val="1338180624"/>
      </c:scatterChart>
      <c:valAx>
        <c:axId val="144900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80624"/>
        <c:crosses val="autoZero"/>
        <c:crossBetween val="midCat"/>
      </c:valAx>
      <c:valAx>
        <c:axId val="1338180624"/>
        <c:scaling>
          <c:orientation val="minMax"/>
          <c:min val="2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0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S/n^2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Sheet1!$K$2:$K$15</c:f>
              <c:numCache>
                <c:formatCode>General</c:formatCode>
                <c:ptCount val="14"/>
                <c:pt idx="0">
                  <c:v>0.24785760000000001</c:v>
                </c:pt>
                <c:pt idx="1">
                  <c:v>0.24882397500000003</c:v>
                </c:pt>
                <c:pt idx="2">
                  <c:v>0.24943953333333335</c:v>
                </c:pt>
                <c:pt idx="3">
                  <c:v>0.24926853124999998</c:v>
                </c:pt>
                <c:pt idx="4">
                  <c:v>0.24944608799999998</c:v>
                </c:pt>
                <c:pt idx="5">
                  <c:v>0.24973022499999975</c:v>
                </c:pt>
                <c:pt idx="6">
                  <c:v>0.25006575102040812</c:v>
                </c:pt>
                <c:pt idx="7">
                  <c:v>0.2496236953125</c:v>
                </c:pt>
                <c:pt idx="8">
                  <c:v>0.24984683703703703</c:v>
                </c:pt>
                <c:pt idx="9">
                  <c:v>0.249966881</c:v>
                </c:pt>
                <c:pt idx="10">
                  <c:v>0.25001477124999999</c:v>
                </c:pt>
                <c:pt idx="11">
                  <c:v>0.25000108344444444</c:v>
                </c:pt>
                <c:pt idx="12">
                  <c:v>0.24992060931249999</c:v>
                </c:pt>
                <c:pt idx="13">
                  <c:v>0.24991616295999999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9E-44C8-B51D-7DC652F2B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075584"/>
        <c:axId val="1338061104"/>
      </c:scatterChart>
      <c:valAx>
        <c:axId val="114607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61104"/>
        <c:crosses val="autoZero"/>
        <c:crossBetween val="midCat"/>
      </c:valAx>
      <c:valAx>
        <c:axId val="1338061104"/>
        <c:scaling>
          <c:orientation val="minMax"/>
          <c:min val="0.245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07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Br/n^2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Sheet1!$M$2:$M$15</c:f>
              <c:numCache>
                <c:formatCode>General</c:formatCode>
                <c:ptCount val="14"/>
                <c:pt idx="0">
                  <c:v>0.37403600000000004</c:v>
                </c:pt>
                <c:pt idx="1">
                  <c:v>0.37346647499999996</c:v>
                </c:pt>
                <c:pt idx="2">
                  <c:v>0.37324452222222221</c:v>
                </c:pt>
                <c:pt idx="3">
                  <c:v>0.37431170624999999</c:v>
                </c:pt>
                <c:pt idx="4">
                  <c:v>0.37391234400000001</c:v>
                </c:pt>
                <c:pt idx="5">
                  <c:v>0.37460896944444444</c:v>
                </c:pt>
                <c:pt idx="6">
                  <c:v>0.37433948979591836</c:v>
                </c:pt>
                <c:pt idx="7">
                  <c:v>0.37442003437499999</c:v>
                </c:pt>
                <c:pt idx="8">
                  <c:v>0.37431473086419748</c:v>
                </c:pt>
                <c:pt idx="9">
                  <c:v>0.37457288099999997</c:v>
                </c:pt>
                <c:pt idx="10">
                  <c:v>0.37491566125000003</c:v>
                </c:pt>
                <c:pt idx="11">
                  <c:v>0.3748912193333333</c:v>
                </c:pt>
                <c:pt idx="12">
                  <c:v>0.37495120443749996</c:v>
                </c:pt>
                <c:pt idx="13">
                  <c:v>0.37490242244000005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F-41C1-B58E-5329D972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849264"/>
        <c:axId val="1338102864"/>
      </c:scatterChart>
      <c:valAx>
        <c:axId val="145284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02864"/>
        <c:crosses val="autoZero"/>
        <c:crossBetween val="midCat"/>
      </c:valAx>
      <c:valAx>
        <c:axId val="1338102864"/>
        <c:scaling>
          <c:orientation val="minMax"/>
          <c:min val="0.370000000000000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84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Ro/n^2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Sheet1!$O$2:$O$15</c:f>
              <c:numCache>
                <c:formatCode>General</c:formatCode>
                <c:ptCount val="14"/>
                <c:pt idx="0">
                  <c:v>0.28887229999999997</c:v>
                </c:pt>
                <c:pt idx="1">
                  <c:v>0.27928674999999997</c:v>
                </c:pt>
                <c:pt idx="2">
                  <c:v>0.27499948888888892</c:v>
                </c:pt>
                <c:pt idx="3">
                  <c:v>0.27151249999999999</c:v>
                </c:pt>
                <c:pt idx="4">
                  <c:v>0.27071849599999998</c:v>
                </c:pt>
                <c:pt idx="5">
                  <c:v>0.26839268333333305</c:v>
                </c:pt>
                <c:pt idx="6">
                  <c:v>0.26680390408163268</c:v>
                </c:pt>
                <c:pt idx="7">
                  <c:v>0.26616643437500004</c:v>
                </c:pt>
                <c:pt idx="8">
                  <c:v>0.2655568802469136</c:v>
                </c:pt>
                <c:pt idx="9">
                  <c:v>0.26470423500000001</c:v>
                </c:pt>
                <c:pt idx="10">
                  <c:v>0.26023402099999998</c:v>
                </c:pt>
                <c:pt idx="11">
                  <c:v>0.25869831544444444</c:v>
                </c:pt>
                <c:pt idx="12">
                  <c:v>0.25766264887500001</c:v>
                </c:pt>
                <c:pt idx="13">
                  <c:v>0.25679630079999999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7-4A3C-A470-50CB58148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446992"/>
        <c:axId val="1338108144"/>
      </c:scatterChart>
      <c:valAx>
        <c:axId val="135444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08144"/>
        <c:crosses val="autoZero"/>
        <c:crossBetween val="midCat"/>
      </c:valAx>
      <c:valAx>
        <c:axId val="1338108144"/>
        <c:scaling>
          <c:orientation val="minMax"/>
          <c:min val="0.24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44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RoBr/n^2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4000</c:v>
                </c:pt>
                <c:pt idx="13">
                  <c:v>5000</c:v>
                </c:pt>
              </c:numCache>
            </c:numRef>
          </c:xVal>
          <c:yVal>
            <c:numRef>
              <c:f>Sheet1!$Q$2:$Q$15</c:f>
              <c:numCache>
                <c:formatCode>General</c:formatCode>
                <c:ptCount val="14"/>
                <c:pt idx="0">
                  <c:v>0.39021689999999998</c:v>
                </c:pt>
                <c:pt idx="1">
                  <c:v>0.38617362500000002</c:v>
                </c:pt>
                <c:pt idx="2">
                  <c:v>0.38390391111111111</c:v>
                </c:pt>
                <c:pt idx="3">
                  <c:v>0.38350265625000002</c:v>
                </c:pt>
                <c:pt idx="4">
                  <c:v>0.38166726400000001</c:v>
                </c:pt>
                <c:pt idx="5">
                  <c:v>0.38156111944444443</c:v>
                </c:pt>
                <c:pt idx="6">
                  <c:v>0.38131895306122449</c:v>
                </c:pt>
                <c:pt idx="7">
                  <c:v>0.38089631875000002</c:v>
                </c:pt>
                <c:pt idx="8">
                  <c:v>0.38048149753086419</c:v>
                </c:pt>
                <c:pt idx="9">
                  <c:v>0.38053149200000003</c:v>
                </c:pt>
                <c:pt idx="10">
                  <c:v>0.37878381900000002</c:v>
                </c:pt>
                <c:pt idx="11">
                  <c:v>0.37819988744444449</c:v>
                </c:pt>
                <c:pt idx="12">
                  <c:v>0.37755363318750002</c:v>
                </c:pt>
                <c:pt idx="13">
                  <c:v>0.37731791979999957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4B-44EE-9BB9-E4385780F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597632"/>
        <c:axId val="1338065424"/>
      </c:scatterChart>
      <c:valAx>
        <c:axId val="137359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065424"/>
        <c:crosses val="autoZero"/>
        <c:crossBetween val="midCat"/>
      </c:valAx>
      <c:valAx>
        <c:axId val="1338065424"/>
        <c:scaling>
          <c:orientation val="minMax"/>
          <c:min val="0.36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59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Pa/n^2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Sheet1!$S$2:$S$11</c:f>
              <c:numCache>
                <c:formatCode>General</c:formatCode>
                <c:ptCount val="10"/>
                <c:pt idx="0">
                  <c:v>0.47628959999999998</c:v>
                </c:pt>
                <c:pt idx="1">
                  <c:v>0.46464544999999996</c:v>
                </c:pt>
                <c:pt idx="2">
                  <c:v>0.46202587777777776</c:v>
                </c:pt>
                <c:pt idx="3">
                  <c:v>0.46031215625000005</c:v>
                </c:pt>
                <c:pt idx="4">
                  <c:v>0.459339312</c:v>
                </c:pt>
                <c:pt idx="5">
                  <c:v>0.45912480000000006</c:v>
                </c:pt>
                <c:pt idx="6">
                  <c:v>0.45863372040816325</c:v>
                </c:pt>
                <c:pt idx="7">
                  <c:v>0.45863903437500003</c:v>
                </c:pt>
                <c:pt idx="8">
                  <c:v>0.45829514938271604</c:v>
                </c:pt>
                <c:pt idx="9">
                  <c:v>0.458844743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4-4069-8DF1-17F01DAD9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775152"/>
        <c:axId val="1338154224"/>
      </c:scatterChart>
      <c:valAx>
        <c:axId val="158677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54224"/>
        <c:crosses val="autoZero"/>
        <c:crossBetween val="midCat"/>
      </c:valAx>
      <c:valAx>
        <c:axId val="1338154224"/>
        <c:scaling>
          <c:orientation val="minMax"/>
          <c:min val="0.440000000000000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77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15</xdr:row>
      <xdr:rowOff>101600</xdr:rowOff>
    </xdr:from>
    <xdr:to>
      <xdr:col>7</xdr:col>
      <xdr:colOff>473075</xdr:colOff>
      <xdr:row>30</xdr:row>
      <xdr:rowOff>82550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74E3FD4-597C-FF8A-C95E-23C843B58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498475</xdr:colOff>
      <xdr:row>15</xdr:row>
      <xdr:rowOff>107950</xdr:rowOff>
    </xdr:from>
    <xdr:to>
      <xdr:col>15</xdr:col>
      <xdr:colOff>193675</xdr:colOff>
      <xdr:row>30</xdr:row>
      <xdr:rowOff>88900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0857132-DA65-D422-7E39-7AAFCA4C6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30</xdr:row>
      <xdr:rowOff>120650</xdr:rowOff>
    </xdr:from>
    <xdr:to>
      <xdr:col>7</xdr:col>
      <xdr:colOff>485775</xdr:colOff>
      <xdr:row>45</xdr:row>
      <xdr:rowOff>101600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253A211-9AB8-30B2-6D9B-85EDA815F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504825</xdr:colOff>
      <xdr:row>30</xdr:row>
      <xdr:rowOff>114300</xdr:rowOff>
    </xdr:from>
    <xdr:to>
      <xdr:col>15</xdr:col>
      <xdr:colOff>200025</xdr:colOff>
      <xdr:row>45</xdr:row>
      <xdr:rowOff>95250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A10AE9F-B59C-EEC7-8A04-86B7E580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536575</xdr:colOff>
      <xdr:row>45</xdr:row>
      <xdr:rowOff>133350</xdr:rowOff>
    </xdr:from>
    <xdr:to>
      <xdr:col>11</xdr:col>
      <xdr:colOff>231775</xdr:colOff>
      <xdr:row>60</xdr:row>
      <xdr:rowOff>114300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CB1B0AA-AECB-20CC-D8A3-8807CBC21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53975</xdr:colOff>
      <xdr:row>60</xdr:row>
      <xdr:rowOff>158750</xdr:rowOff>
    </xdr:from>
    <xdr:to>
      <xdr:col>7</xdr:col>
      <xdr:colOff>358775</xdr:colOff>
      <xdr:row>75</xdr:row>
      <xdr:rowOff>139700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ABF64B28-4023-77CD-BFF0-04D3208B3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365125</xdr:colOff>
      <xdr:row>60</xdr:row>
      <xdr:rowOff>165100</xdr:rowOff>
    </xdr:from>
    <xdr:to>
      <xdr:col>15</xdr:col>
      <xdr:colOff>60325</xdr:colOff>
      <xdr:row>75</xdr:row>
      <xdr:rowOff>146050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70427D2-FC2F-E951-D069-A3EDC58FC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60325</xdr:colOff>
      <xdr:row>75</xdr:row>
      <xdr:rowOff>152400</xdr:rowOff>
    </xdr:from>
    <xdr:to>
      <xdr:col>7</xdr:col>
      <xdr:colOff>365125</xdr:colOff>
      <xdr:row>90</xdr:row>
      <xdr:rowOff>133350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7A4EF05-2400-4443-2BF5-0513CE980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365125</xdr:colOff>
      <xdr:row>75</xdr:row>
      <xdr:rowOff>158750</xdr:rowOff>
    </xdr:from>
    <xdr:to>
      <xdr:col>15</xdr:col>
      <xdr:colOff>60325</xdr:colOff>
      <xdr:row>90</xdr:row>
      <xdr:rowOff>139700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DCC4833-225D-D87A-3A1E-DBE21683F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EB7E-6A1B-4AE7-A0EC-0E2750E115F2}">
  <dimension ref="A1:S15"/>
  <sheetViews>
    <sheetView tabSelected="1" topLeftCell="A6" workbookViewId="0">
      <selection activeCell="R18" sqref="R18"/>
    </sheetView>
  </sheetViews>
  <sheetFormatPr defaultRowHeight="14.5" x14ac:dyDescent="0.35"/>
  <sheetData>
    <row r="1" spans="1:19" x14ac:dyDescent="0.35">
      <c r="A1" t="s">
        <v>0</v>
      </c>
      <c r="B1" t="s">
        <v>10</v>
      </c>
      <c r="C1" t="s">
        <v>6</v>
      </c>
      <c r="D1" t="s">
        <v>11</v>
      </c>
      <c r="E1" t="s">
        <v>7</v>
      </c>
      <c r="F1" t="s">
        <v>12</v>
      </c>
      <c r="G1" t="s">
        <v>8</v>
      </c>
      <c r="H1" t="s">
        <v>1</v>
      </c>
      <c r="I1" t="s">
        <v>9</v>
      </c>
      <c r="J1" t="s">
        <v>2</v>
      </c>
      <c r="K1" t="s">
        <v>13</v>
      </c>
      <c r="L1" t="s">
        <v>3</v>
      </c>
      <c r="M1" t="s">
        <v>14</v>
      </c>
      <c r="N1" t="s">
        <v>4</v>
      </c>
      <c r="O1" t="s">
        <v>15</v>
      </c>
      <c r="P1" t="s">
        <v>5</v>
      </c>
      <c r="Q1" t="s">
        <v>16</v>
      </c>
      <c r="R1" t="s">
        <v>18</v>
      </c>
      <c r="S1" t="s">
        <v>17</v>
      </c>
    </row>
    <row r="2" spans="1:19" x14ac:dyDescent="0.35">
      <c r="A2">
        <v>100</v>
      </c>
      <c r="B2">
        <v>792.92999999999904</v>
      </c>
      <c r="C2">
        <f>B2/A2^(3/2)</f>
        <v>0.79292999999999847</v>
      </c>
      <c r="D2">
        <v>424.89499999999998</v>
      </c>
      <c r="E2">
        <f t="shared" ref="E2:E11" si="0">D2/A2^(3/2)</f>
        <v>0.42489499999999969</v>
      </c>
      <c r="F2">
        <v>766.96</v>
      </c>
      <c r="G2">
        <f t="shared" ref="G2:G11" si="1">F2/A2^(3/2)</f>
        <v>0.76695999999999953</v>
      </c>
      <c r="H2">
        <v>2350.81</v>
      </c>
      <c r="I2">
        <f t="shared" ref="I2:I11" si="2">H2/A2^(3/2)</f>
        <v>2.3508099999999983</v>
      </c>
      <c r="J2">
        <v>2478.576</v>
      </c>
      <c r="K2">
        <f>J2/A2^2</f>
        <v>0.24785760000000001</v>
      </c>
      <c r="L2">
        <v>3740.36</v>
      </c>
      <c r="M2">
        <f>L2/A2^2</f>
        <v>0.37403600000000004</v>
      </c>
      <c r="N2">
        <v>2888.723</v>
      </c>
      <c r="O2">
        <f>N2/A2^2</f>
        <v>0.28887229999999997</v>
      </c>
      <c r="P2">
        <v>3902.1689999999999</v>
      </c>
      <c r="Q2">
        <f>P2/A2^2</f>
        <v>0.39021689999999998</v>
      </c>
      <c r="R2">
        <v>4762.8959999999997</v>
      </c>
      <c r="S2">
        <f>R2/A2^2</f>
        <v>0.47628959999999998</v>
      </c>
    </row>
    <row r="3" spans="1:19" x14ac:dyDescent="0.35">
      <c r="A3">
        <v>200</v>
      </c>
      <c r="B3">
        <v>2296.4940000000001</v>
      </c>
      <c r="C3">
        <f t="shared" ref="C3:C15" si="3">B3/A3^(3/2)</f>
        <v>0.81193324017711044</v>
      </c>
      <c r="D3">
        <v>1022.534</v>
      </c>
      <c r="E3">
        <f t="shared" si="0"/>
        <v>0.36152036269690291</v>
      </c>
      <c r="F3">
        <v>2129.2370000000001</v>
      </c>
      <c r="G3">
        <f t="shared" si="1"/>
        <v>0.7527989607266512</v>
      </c>
      <c r="H3">
        <v>6734.8119999999999</v>
      </c>
      <c r="I3">
        <f t="shared" si="2"/>
        <v>2.3811156176082693</v>
      </c>
      <c r="J3">
        <v>9952.9590000000007</v>
      </c>
      <c r="K3">
        <f t="shared" ref="K3:K15" si="4">J3/A3^2</f>
        <v>0.24882397500000003</v>
      </c>
      <c r="L3">
        <v>14938.659</v>
      </c>
      <c r="M3">
        <f t="shared" ref="M3:M15" si="5">L3/A3^2</f>
        <v>0.37346647499999996</v>
      </c>
      <c r="N3">
        <v>11171.47</v>
      </c>
      <c r="O3">
        <f t="shared" ref="O3:O15" si="6">N3/A3^2</f>
        <v>0.27928674999999997</v>
      </c>
      <c r="P3">
        <v>15446.945</v>
      </c>
      <c r="Q3">
        <f t="shared" ref="Q3:Q15" si="7">P3/A3^2</f>
        <v>0.38617362500000002</v>
      </c>
      <c r="R3">
        <v>18585.817999999999</v>
      </c>
      <c r="S3">
        <f t="shared" ref="S3:S15" si="8">R3/A3^2</f>
        <v>0.46464544999999996</v>
      </c>
    </row>
    <row r="4" spans="1:19" x14ac:dyDescent="0.35">
      <c r="A4">
        <v>300</v>
      </c>
      <c r="B4">
        <v>4321.5860000000002</v>
      </c>
      <c r="C4">
        <f t="shared" si="3"/>
        <v>0.83168961347537285</v>
      </c>
      <c r="D4">
        <v>1744.6210000000001</v>
      </c>
      <c r="E4">
        <f t="shared" si="0"/>
        <v>0.33575246799462477</v>
      </c>
      <c r="F4">
        <v>3890.5540000000001</v>
      </c>
      <c r="G4">
        <f t="shared" si="1"/>
        <v>0.74873746639892524</v>
      </c>
      <c r="H4">
        <v>12521.724</v>
      </c>
      <c r="I4">
        <f t="shared" si="2"/>
        <v>2.4098069073727331</v>
      </c>
      <c r="J4">
        <v>22449.558000000001</v>
      </c>
      <c r="K4">
        <f t="shared" si="4"/>
        <v>0.24943953333333335</v>
      </c>
      <c r="L4">
        <v>33592.006999999998</v>
      </c>
      <c r="M4">
        <f t="shared" si="5"/>
        <v>0.37324452222222221</v>
      </c>
      <c r="N4">
        <v>24749.954000000002</v>
      </c>
      <c r="O4">
        <f t="shared" si="6"/>
        <v>0.27499948888888892</v>
      </c>
      <c r="P4">
        <v>34551.351999999999</v>
      </c>
      <c r="Q4">
        <f t="shared" si="7"/>
        <v>0.38390391111111111</v>
      </c>
      <c r="R4">
        <v>41582.328999999998</v>
      </c>
      <c r="S4">
        <f t="shared" si="8"/>
        <v>0.46202587777777776</v>
      </c>
    </row>
    <row r="5" spans="1:19" x14ac:dyDescent="0.35">
      <c r="A5">
        <v>400</v>
      </c>
      <c r="B5">
        <v>6694.33</v>
      </c>
      <c r="C5">
        <f t="shared" si="3"/>
        <v>0.83679124999999999</v>
      </c>
      <c r="D5">
        <v>2553.944</v>
      </c>
      <c r="E5">
        <f t="shared" si="0"/>
        <v>0.319243</v>
      </c>
      <c r="F5">
        <v>5962.64</v>
      </c>
      <c r="G5">
        <f t="shared" si="1"/>
        <v>0.74533000000000005</v>
      </c>
      <c r="H5">
        <v>19431.828000000001</v>
      </c>
      <c r="I5">
        <f t="shared" si="2"/>
        <v>2.4289785000000004</v>
      </c>
      <c r="J5">
        <v>39882.964999999997</v>
      </c>
      <c r="K5">
        <f t="shared" si="4"/>
        <v>0.24926853124999998</v>
      </c>
      <c r="L5">
        <v>59889.873</v>
      </c>
      <c r="M5">
        <f t="shared" si="5"/>
        <v>0.37431170624999999</v>
      </c>
      <c r="N5">
        <v>43442</v>
      </c>
      <c r="O5">
        <f t="shared" si="6"/>
        <v>0.27151249999999999</v>
      </c>
      <c r="P5">
        <v>61360.425000000003</v>
      </c>
      <c r="Q5">
        <f t="shared" si="7"/>
        <v>0.38350265625000002</v>
      </c>
      <c r="R5">
        <v>73649.945000000007</v>
      </c>
      <c r="S5">
        <f t="shared" si="8"/>
        <v>0.46031215625000005</v>
      </c>
    </row>
    <row r="6" spans="1:19" x14ac:dyDescent="0.35">
      <c r="A6">
        <v>500</v>
      </c>
      <c r="B6">
        <v>9545.2980000000007</v>
      </c>
      <c r="C6">
        <f t="shared" si="3"/>
        <v>0.8537574077397112</v>
      </c>
      <c r="D6">
        <v>3504.4090000000001</v>
      </c>
      <c r="E6">
        <f t="shared" si="0"/>
        <v>0.31344386979848232</v>
      </c>
      <c r="F6">
        <v>8267.1849999999904</v>
      </c>
      <c r="G6">
        <f t="shared" si="1"/>
        <v>0.73943950570266281</v>
      </c>
      <c r="H6">
        <v>27200.036</v>
      </c>
      <c r="I6">
        <f t="shared" si="2"/>
        <v>2.432845179457658</v>
      </c>
      <c r="J6">
        <v>62361.521999999997</v>
      </c>
      <c r="K6">
        <f t="shared" si="4"/>
        <v>0.24944608799999998</v>
      </c>
      <c r="L6">
        <v>93478.085999999996</v>
      </c>
      <c r="M6">
        <f t="shared" si="5"/>
        <v>0.37391234400000001</v>
      </c>
      <c r="N6">
        <v>67679.623999999996</v>
      </c>
      <c r="O6">
        <f t="shared" si="6"/>
        <v>0.27071849599999998</v>
      </c>
      <c r="P6">
        <v>95416.816000000006</v>
      </c>
      <c r="Q6">
        <f t="shared" si="7"/>
        <v>0.38166726400000001</v>
      </c>
      <c r="R6">
        <v>114834.82799999999</v>
      </c>
      <c r="S6">
        <f t="shared" si="8"/>
        <v>0.459339312</v>
      </c>
    </row>
    <row r="7" spans="1:19" x14ac:dyDescent="0.35">
      <c r="A7">
        <v>600</v>
      </c>
      <c r="B7">
        <v>12381.878000000001</v>
      </c>
      <c r="C7">
        <f t="shared" si="3"/>
        <v>0.84248008770535343</v>
      </c>
      <c r="D7">
        <v>4441.3639999999996</v>
      </c>
      <c r="E7">
        <f t="shared" si="0"/>
        <v>0.30219654338795771</v>
      </c>
      <c r="F7">
        <v>10819.066999999999</v>
      </c>
      <c r="G7">
        <f t="shared" si="1"/>
        <v>0.73614426786066656</v>
      </c>
      <c r="H7">
        <v>35694.65</v>
      </c>
      <c r="I7">
        <f t="shared" si="2"/>
        <v>2.4287133068676572</v>
      </c>
      <c r="J7">
        <v>89902.880999999907</v>
      </c>
      <c r="K7">
        <f t="shared" si="4"/>
        <v>0.24973022499999975</v>
      </c>
      <c r="L7">
        <v>134859.22899999999</v>
      </c>
      <c r="M7">
        <f t="shared" si="5"/>
        <v>0.37460896944444444</v>
      </c>
      <c r="N7">
        <v>96621.365999999907</v>
      </c>
      <c r="O7">
        <f t="shared" si="6"/>
        <v>0.26839268333333305</v>
      </c>
      <c r="P7">
        <v>137362.003</v>
      </c>
      <c r="Q7">
        <f t="shared" si="7"/>
        <v>0.38156111944444443</v>
      </c>
      <c r="R7">
        <v>165284.92800000001</v>
      </c>
      <c r="S7">
        <f t="shared" si="8"/>
        <v>0.45912480000000006</v>
      </c>
    </row>
    <row r="8" spans="1:19" x14ac:dyDescent="0.35">
      <c r="A8">
        <v>700</v>
      </c>
      <c r="B8">
        <v>15825.57</v>
      </c>
      <c r="C8">
        <f t="shared" si="3"/>
        <v>0.85450046073152019</v>
      </c>
      <c r="D8">
        <v>5543.3190000000004</v>
      </c>
      <c r="E8">
        <f t="shared" si="0"/>
        <v>0.29931109207957696</v>
      </c>
      <c r="F8">
        <v>13676.932000000001</v>
      </c>
      <c r="G8">
        <f t="shared" si="1"/>
        <v>0.73848491368043445</v>
      </c>
      <c r="H8">
        <v>44346.197999999997</v>
      </c>
      <c r="I8">
        <f t="shared" si="2"/>
        <v>2.3944696224332658</v>
      </c>
      <c r="J8">
        <v>122532.21799999999</v>
      </c>
      <c r="K8">
        <f t="shared" si="4"/>
        <v>0.25006575102040812</v>
      </c>
      <c r="L8">
        <v>183426.35</v>
      </c>
      <c r="M8">
        <f t="shared" si="5"/>
        <v>0.37433948979591836</v>
      </c>
      <c r="N8">
        <v>130733.913</v>
      </c>
      <c r="O8">
        <f t="shared" si="6"/>
        <v>0.26680390408163268</v>
      </c>
      <c r="P8">
        <v>186846.28700000001</v>
      </c>
      <c r="Q8">
        <f t="shared" si="7"/>
        <v>0.38131895306122449</v>
      </c>
      <c r="R8">
        <v>224730.52299999999</v>
      </c>
      <c r="S8">
        <f t="shared" si="8"/>
        <v>0.45863372040816325</v>
      </c>
    </row>
    <row r="9" spans="1:19" x14ac:dyDescent="0.35">
      <c r="A9">
        <v>800</v>
      </c>
      <c r="B9">
        <v>19073.7</v>
      </c>
      <c r="C9">
        <f t="shared" si="3"/>
        <v>0.84294641326986641</v>
      </c>
      <c r="D9">
        <v>6720.585</v>
      </c>
      <c r="E9">
        <f t="shared" si="0"/>
        <v>0.29701070169003735</v>
      </c>
      <c r="F9">
        <v>16599.866999999998</v>
      </c>
      <c r="G9">
        <f t="shared" si="1"/>
        <v>0.73361740765592498</v>
      </c>
      <c r="H9">
        <v>54218.546000000002</v>
      </c>
      <c r="I9">
        <f t="shared" si="2"/>
        <v>2.3961438464171745</v>
      </c>
      <c r="J9">
        <v>159759.16500000001</v>
      </c>
      <c r="K9">
        <f t="shared" si="4"/>
        <v>0.2496236953125</v>
      </c>
      <c r="L9">
        <v>239628.82199999999</v>
      </c>
      <c r="M9">
        <f t="shared" si="5"/>
        <v>0.37442003437499999</v>
      </c>
      <c r="N9">
        <v>170346.51800000001</v>
      </c>
      <c r="O9">
        <f t="shared" si="6"/>
        <v>0.26616643437500004</v>
      </c>
      <c r="P9">
        <v>243773.644</v>
      </c>
      <c r="Q9">
        <f t="shared" si="7"/>
        <v>0.38089631875000002</v>
      </c>
      <c r="R9">
        <v>293528.98200000002</v>
      </c>
      <c r="S9">
        <f t="shared" si="8"/>
        <v>0.45863903437500003</v>
      </c>
    </row>
    <row r="10" spans="1:19" x14ac:dyDescent="0.35">
      <c r="A10">
        <v>900</v>
      </c>
      <c r="B10">
        <v>23216.405999999999</v>
      </c>
      <c r="C10">
        <f t="shared" si="3"/>
        <v>0.85986688888888896</v>
      </c>
      <c r="D10">
        <v>7928.5720000000001</v>
      </c>
      <c r="E10">
        <f t="shared" si="0"/>
        <v>0.29365081481481486</v>
      </c>
      <c r="F10">
        <v>19715.623</v>
      </c>
      <c r="G10">
        <f t="shared" si="1"/>
        <v>0.73020825925925936</v>
      </c>
      <c r="H10">
        <v>66410.998000000007</v>
      </c>
      <c r="I10">
        <f t="shared" si="2"/>
        <v>2.4596665925925931</v>
      </c>
      <c r="J10">
        <v>202375.93799999999</v>
      </c>
      <c r="K10">
        <f t="shared" si="4"/>
        <v>0.24984683703703703</v>
      </c>
      <c r="L10">
        <v>303194.93199999997</v>
      </c>
      <c r="M10">
        <f t="shared" si="5"/>
        <v>0.37431473086419748</v>
      </c>
      <c r="N10">
        <v>215101.073</v>
      </c>
      <c r="O10">
        <f t="shared" si="6"/>
        <v>0.2655568802469136</v>
      </c>
      <c r="P10">
        <v>308190.01299999998</v>
      </c>
      <c r="Q10">
        <f t="shared" si="7"/>
        <v>0.38048149753086419</v>
      </c>
      <c r="R10">
        <v>371219.071</v>
      </c>
      <c r="S10">
        <f t="shared" si="8"/>
        <v>0.45829514938271604</v>
      </c>
    </row>
    <row r="11" spans="1:19" x14ac:dyDescent="0.35">
      <c r="A11">
        <v>1000</v>
      </c>
      <c r="B11">
        <v>27448.157999999999</v>
      </c>
      <c r="C11">
        <f t="shared" si="3"/>
        <v>0.86798696856172008</v>
      </c>
      <c r="D11">
        <v>9191.5660000000007</v>
      </c>
      <c r="E11">
        <f t="shared" si="0"/>
        <v>0.29066283823763245</v>
      </c>
      <c r="F11">
        <v>23341.999</v>
      </c>
      <c r="G11">
        <f t="shared" si="1"/>
        <v>0.73813881981372675</v>
      </c>
      <c r="H11">
        <v>77307.073999999906</v>
      </c>
      <c r="I11">
        <f t="shared" si="2"/>
        <v>2.4446643308318357</v>
      </c>
      <c r="J11">
        <v>249966.88099999999</v>
      </c>
      <c r="K11">
        <f t="shared" si="4"/>
        <v>0.249966881</v>
      </c>
      <c r="L11">
        <v>374572.88099999999</v>
      </c>
      <c r="M11">
        <f t="shared" si="5"/>
        <v>0.37457288099999997</v>
      </c>
      <c r="N11">
        <v>264704.23499999999</v>
      </c>
      <c r="O11">
        <f t="shared" si="6"/>
        <v>0.26470423500000001</v>
      </c>
      <c r="P11">
        <v>380531.49200000003</v>
      </c>
      <c r="Q11">
        <f t="shared" si="7"/>
        <v>0.38053149200000003</v>
      </c>
      <c r="R11">
        <v>458844.74300000002</v>
      </c>
      <c r="S11">
        <f t="shared" si="8"/>
        <v>0.458844743</v>
      </c>
    </row>
    <row r="12" spans="1:19" x14ac:dyDescent="0.35">
      <c r="A12">
        <v>2000</v>
      </c>
      <c r="B12">
        <v>77592.73</v>
      </c>
      <c r="C12">
        <f t="shared" si="3"/>
        <v>0.86751309419893718</v>
      </c>
      <c r="D12">
        <v>23551.467000000001</v>
      </c>
      <c r="E12">
        <f t="shared" ref="E12:E15" si="9">D12/A12^(3/2)</f>
        <v>0.26331340590921548</v>
      </c>
      <c r="F12">
        <v>65434.851999999999</v>
      </c>
      <c r="G12">
        <f t="shared" ref="G12:G15" si="10">F12/A12^(3/2)</f>
        <v>0.73158388584819112</v>
      </c>
      <c r="H12">
        <v>220171</v>
      </c>
      <c r="I12">
        <f t="shared" ref="I12:I15" si="11">H12/A12^(3/2)</f>
        <v>2.4615866133705335</v>
      </c>
      <c r="J12">
        <v>1000059.085</v>
      </c>
      <c r="K12">
        <f t="shared" si="4"/>
        <v>0.25001477124999999</v>
      </c>
      <c r="L12">
        <v>1499662.645</v>
      </c>
      <c r="M12">
        <f t="shared" si="5"/>
        <v>0.37491566125000003</v>
      </c>
      <c r="N12">
        <v>1040936.084</v>
      </c>
      <c r="O12">
        <f t="shared" si="6"/>
        <v>0.26023402099999998</v>
      </c>
      <c r="P12">
        <v>1515135.2760000001</v>
      </c>
      <c r="Q12">
        <f t="shared" si="7"/>
        <v>0.37878381900000002</v>
      </c>
    </row>
    <row r="13" spans="1:19" x14ac:dyDescent="0.35">
      <c r="A13">
        <v>3000</v>
      </c>
      <c r="B13">
        <v>143113.56599999999</v>
      </c>
      <c r="C13">
        <f t="shared" si="3"/>
        <v>0.87096142648004893</v>
      </c>
      <c r="D13">
        <v>42192.182000000001</v>
      </c>
      <c r="E13">
        <f t="shared" si="9"/>
        <v>0.25677344257514934</v>
      </c>
      <c r="F13">
        <v>120675.80499999999</v>
      </c>
      <c r="G13">
        <f t="shared" si="10"/>
        <v>0.73440956159549697</v>
      </c>
      <c r="H13">
        <v>405073</v>
      </c>
      <c r="I13">
        <f t="shared" si="11"/>
        <v>2.4651957726254468</v>
      </c>
      <c r="J13">
        <v>2250009.7510000002</v>
      </c>
      <c r="K13">
        <f t="shared" si="4"/>
        <v>0.25000108344444444</v>
      </c>
      <c r="L13">
        <v>3374020.9739999999</v>
      </c>
      <c r="M13">
        <f t="shared" si="5"/>
        <v>0.3748912193333333</v>
      </c>
      <c r="N13">
        <v>2328284.8390000002</v>
      </c>
      <c r="O13">
        <f t="shared" si="6"/>
        <v>0.25869831544444444</v>
      </c>
      <c r="P13">
        <v>3403798.9870000002</v>
      </c>
      <c r="Q13">
        <f t="shared" si="7"/>
        <v>0.37819988744444449</v>
      </c>
    </row>
    <row r="14" spans="1:19" x14ac:dyDescent="0.35">
      <c r="A14">
        <v>4000</v>
      </c>
      <c r="B14">
        <v>219099.17600000001</v>
      </c>
      <c r="C14">
        <f t="shared" si="3"/>
        <v>0.86606553703262512</v>
      </c>
      <c r="D14">
        <v>64906.769</v>
      </c>
      <c r="E14">
        <f t="shared" si="9"/>
        <v>0.25656653200301194</v>
      </c>
      <c r="F14">
        <v>184134</v>
      </c>
      <c r="G14">
        <f t="shared" si="10"/>
        <v>0.72785354334680552</v>
      </c>
      <c r="H14">
        <v>626798.02599999995</v>
      </c>
      <c r="I14">
        <f t="shared" si="11"/>
        <v>2.4776367438217988</v>
      </c>
      <c r="J14">
        <v>3998729.7489999998</v>
      </c>
      <c r="K14">
        <f t="shared" si="4"/>
        <v>0.24992060931249999</v>
      </c>
      <c r="L14">
        <v>5999219.2709999997</v>
      </c>
      <c r="M14">
        <f t="shared" si="5"/>
        <v>0.37495120443749996</v>
      </c>
      <c r="N14">
        <v>4122602.3820000002</v>
      </c>
      <c r="O14">
        <f t="shared" si="6"/>
        <v>0.25766264887500001</v>
      </c>
      <c r="P14">
        <v>6040858.1310000001</v>
      </c>
      <c r="Q14">
        <f t="shared" si="7"/>
        <v>0.37755363318750002</v>
      </c>
    </row>
    <row r="15" spans="1:19" x14ac:dyDescent="0.35">
      <c r="A15">
        <v>5000</v>
      </c>
      <c r="B15">
        <v>307231.576</v>
      </c>
      <c r="C15">
        <f t="shared" si="3"/>
        <v>0.86898212313692036</v>
      </c>
      <c r="D15">
        <v>87687.584000000003</v>
      </c>
      <c r="E15">
        <f t="shared" si="9"/>
        <v>0.24801794108905997</v>
      </c>
      <c r="F15">
        <v>256936</v>
      </c>
      <c r="G15">
        <f t="shared" si="10"/>
        <v>0.72672475172378692</v>
      </c>
      <c r="H15">
        <v>877561</v>
      </c>
      <c r="I15">
        <f t="shared" si="11"/>
        <v>2.4821173360193907</v>
      </c>
      <c r="J15">
        <v>6247904.074</v>
      </c>
      <c r="K15">
        <f t="shared" si="4"/>
        <v>0.24991616295999999</v>
      </c>
      <c r="L15">
        <v>9372560.5610000007</v>
      </c>
      <c r="M15">
        <f t="shared" si="5"/>
        <v>0.37490242244000005</v>
      </c>
      <c r="N15">
        <v>6419907.5199999996</v>
      </c>
      <c r="O15">
        <f t="shared" si="6"/>
        <v>0.25679630079999999</v>
      </c>
      <c r="P15">
        <v>9432947.9949999899</v>
      </c>
      <c r="Q15">
        <f t="shared" si="7"/>
        <v>0.37731791979999957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Willow Stewart</dc:creator>
  <cp:lastModifiedBy>Willow Stewart</cp:lastModifiedBy>
  <dcterms:created xsi:type="dcterms:W3CDTF">2026-06-03T05:35:25Z</dcterms:created>
  <dcterms:modified xsi:type="dcterms:W3CDTF">2026-09-13T01:08:58Z</dcterms:modified>
</cp:coreProperties>
</file>